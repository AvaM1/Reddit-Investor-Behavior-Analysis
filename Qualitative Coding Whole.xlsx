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tin/Desktop/Soc Sci 3A/"/>
    </mc:Choice>
  </mc:AlternateContent>
  <xr:revisionPtr revIDLastSave="0" documentId="13_ncr:1_{84093881-711B-EB45-A872-E69F83DE59C8}" xr6:coauthVersionLast="47" xr6:coauthVersionMax="47" xr10:uidLastSave="{00000000-0000-0000-0000-000000000000}"/>
  <bookViews>
    <workbookView xWindow="0" yWindow="0" windowWidth="28800" windowHeight="18000" xr2:uid="{9725885F-352C-1742-8E3D-2192C72168FB}"/>
  </bookViews>
  <sheets>
    <sheet name="Sheet1" sheetId="1" r:id="rId1"/>
    <sheet name="Sheet4" sheetId="4" r:id="rId2"/>
    <sheet name="Codebook" sheetId="2" r:id="rId3"/>
    <sheet name="Sheet3" sheetId="3" r:id="rId4"/>
  </sheets>
  <definedNames>
    <definedName name="_xlchart.v1.0" hidden="1">Sheet3!$A$10:$C$10</definedName>
    <definedName name="_xlchart.v1.1" hidden="1">Sheet3!$A$11:$C$11</definedName>
    <definedName name="_xlchart.v1.10" hidden="1">Sheet3!$A$1:$C$1</definedName>
    <definedName name="_xlchart.v1.100" hidden="1">Sheet3!$C$1</definedName>
    <definedName name="_xlchart.v1.101" hidden="1">Sheet3!$C$2:$C$21</definedName>
    <definedName name="_xlchart.v1.102" hidden="1">Sheet3!$A$10:$C$10</definedName>
    <definedName name="_xlchart.v1.103" hidden="1">Sheet3!$A$11:$C$11</definedName>
    <definedName name="_xlchart.v1.104" hidden="1">Sheet3!$A$12:$C$12</definedName>
    <definedName name="_xlchart.v1.105" hidden="1">Sheet3!$A$13:$C$13</definedName>
    <definedName name="_xlchart.v1.106" hidden="1">Sheet3!$A$14:$C$14</definedName>
    <definedName name="_xlchart.v1.107" hidden="1">Sheet3!$A$15:$C$15</definedName>
    <definedName name="_xlchart.v1.108" hidden="1">Sheet3!$A$16:$C$16</definedName>
    <definedName name="_xlchart.v1.109" hidden="1">Sheet3!$A$17:$C$17</definedName>
    <definedName name="_xlchart.v1.11" hidden="1">Sheet3!$A$20:$C$20</definedName>
    <definedName name="_xlchart.v1.110" hidden="1">Sheet3!$A$18:$C$18</definedName>
    <definedName name="_xlchart.v1.111" hidden="1">Sheet3!$A$19:$C$19</definedName>
    <definedName name="_xlchart.v1.112" hidden="1">Sheet3!$A$1:$C$1</definedName>
    <definedName name="_xlchart.v1.113" hidden="1">Sheet3!$A$20:$C$20</definedName>
    <definedName name="_xlchart.v1.114" hidden="1">Sheet3!$A$21:$C$21</definedName>
    <definedName name="_xlchart.v1.115" hidden="1">Sheet3!$A$2:$C$2</definedName>
    <definedName name="_xlchart.v1.116" hidden="1">Sheet3!$A$3:$C$3</definedName>
    <definedName name="_xlchart.v1.117" hidden="1">Sheet3!$A$4:$C$4</definedName>
    <definedName name="_xlchart.v1.118" hidden="1">Sheet3!$A$5:$C$5</definedName>
    <definedName name="_xlchart.v1.119" hidden="1">Sheet3!$A$6:$C$6</definedName>
    <definedName name="_xlchart.v1.12" hidden="1">Sheet3!$A$21:$C$21</definedName>
    <definedName name="_xlchart.v1.120" hidden="1">Sheet3!$A$7:$C$7</definedName>
    <definedName name="_xlchart.v1.121" hidden="1">Sheet3!$A$8:$C$8</definedName>
    <definedName name="_xlchart.v1.122" hidden="1">Sheet3!$A$9:$C$9</definedName>
    <definedName name="_xlchart.v1.123" hidden="1">Sheet3!$A$1</definedName>
    <definedName name="_xlchart.v1.124" hidden="1">Sheet3!$A$2:$A$21</definedName>
    <definedName name="_xlchart.v1.125" hidden="1">Sheet3!$B$1</definedName>
    <definedName name="_xlchart.v1.126" hidden="1">Sheet3!$B$2:$B$21</definedName>
    <definedName name="_xlchart.v1.127" hidden="1">Sheet3!$C$1</definedName>
    <definedName name="_xlchart.v1.128" hidden="1">Sheet3!$C$2:$C$21</definedName>
    <definedName name="_xlchart.v1.129" hidden="1">Sheet3!$A$1</definedName>
    <definedName name="_xlchart.v1.13" hidden="1">Sheet3!$A$2:$C$2</definedName>
    <definedName name="_xlchart.v1.130" hidden="1">Sheet3!$A$2:$A$21</definedName>
    <definedName name="_xlchart.v1.131" hidden="1">Sheet3!$B$1</definedName>
    <definedName name="_xlchart.v1.132" hidden="1">Sheet3!$B$2:$B$21</definedName>
    <definedName name="_xlchart.v1.133" hidden="1">Sheet3!$C$1</definedName>
    <definedName name="_xlchart.v1.134" hidden="1">Sheet3!$C$2:$C$21</definedName>
    <definedName name="_xlchart.v1.14" hidden="1">Sheet3!$A$3:$C$3</definedName>
    <definedName name="_xlchart.v1.15" hidden="1">Sheet3!$A$4:$C$4</definedName>
    <definedName name="_xlchart.v1.16" hidden="1">Sheet3!$A$5:$C$5</definedName>
    <definedName name="_xlchart.v1.17" hidden="1">Sheet3!$A$6:$C$6</definedName>
    <definedName name="_xlchart.v1.18" hidden="1">Sheet3!$A$7:$C$7</definedName>
    <definedName name="_xlchart.v1.19" hidden="1">Sheet3!$A$8:$C$8</definedName>
    <definedName name="_xlchart.v1.2" hidden="1">Sheet3!$A$12:$C$12</definedName>
    <definedName name="_xlchart.v1.20" hidden="1">Sheet3!$A$9:$C$9</definedName>
    <definedName name="_xlchart.v1.21" hidden="1">Sheet3!$A$10:$C$10</definedName>
    <definedName name="_xlchart.v1.22" hidden="1">Sheet3!$A$11:$C$11</definedName>
    <definedName name="_xlchart.v1.23" hidden="1">Sheet3!$A$12:$C$12</definedName>
    <definedName name="_xlchart.v1.24" hidden="1">Sheet3!$A$13:$C$13</definedName>
    <definedName name="_xlchart.v1.25" hidden="1">Sheet3!$A$14:$C$14</definedName>
    <definedName name="_xlchart.v1.26" hidden="1">Sheet3!$A$15:$C$15</definedName>
    <definedName name="_xlchart.v1.27" hidden="1">Sheet3!$A$16:$C$16</definedName>
    <definedName name="_xlchart.v1.28" hidden="1">Sheet3!$A$17:$C$17</definedName>
    <definedName name="_xlchart.v1.29" hidden="1">Sheet3!$A$18:$C$18</definedName>
    <definedName name="_xlchart.v1.3" hidden="1">Sheet3!$A$13:$C$13</definedName>
    <definedName name="_xlchart.v1.30" hidden="1">Sheet3!$A$19:$C$19</definedName>
    <definedName name="_xlchart.v1.31" hidden="1">Sheet3!$A$1:$C$1</definedName>
    <definedName name="_xlchart.v1.32" hidden="1">Sheet3!$A$20:$C$20</definedName>
    <definedName name="_xlchart.v1.33" hidden="1">Sheet3!$A$21:$C$21</definedName>
    <definedName name="_xlchart.v1.34" hidden="1">Sheet3!$A$2:$C$2</definedName>
    <definedName name="_xlchart.v1.35" hidden="1">Sheet3!$A$3:$C$3</definedName>
    <definedName name="_xlchart.v1.36" hidden="1">Sheet3!$A$4:$C$4</definedName>
    <definedName name="_xlchart.v1.37" hidden="1">Sheet3!$A$5:$C$5</definedName>
    <definedName name="_xlchart.v1.38" hidden="1">Sheet3!$A$6:$C$6</definedName>
    <definedName name="_xlchart.v1.39" hidden="1">Sheet3!$A$7:$C$7</definedName>
    <definedName name="_xlchart.v1.4" hidden="1">Sheet3!$A$14:$C$14</definedName>
    <definedName name="_xlchart.v1.40" hidden="1">Sheet3!$A$8:$C$8</definedName>
    <definedName name="_xlchart.v1.41" hidden="1">Sheet3!$A$9:$C$9</definedName>
    <definedName name="_xlchart.v1.42" hidden="1">Sheet3!$A$10:$C$10</definedName>
    <definedName name="_xlchart.v1.43" hidden="1">Sheet3!$A$11:$C$11</definedName>
    <definedName name="_xlchart.v1.44" hidden="1">Sheet3!$A$12:$C$12</definedName>
    <definedName name="_xlchart.v1.45" hidden="1">Sheet3!$A$13:$C$13</definedName>
    <definedName name="_xlchart.v1.46" hidden="1">Sheet3!$A$14:$C$14</definedName>
    <definedName name="_xlchart.v1.47" hidden="1">Sheet3!$A$15:$C$15</definedName>
    <definedName name="_xlchart.v1.48" hidden="1">Sheet3!$A$16:$C$16</definedName>
    <definedName name="_xlchart.v1.49" hidden="1">Sheet3!$A$17:$C$17</definedName>
    <definedName name="_xlchart.v1.5" hidden="1">Sheet3!$A$15:$C$15</definedName>
    <definedName name="_xlchart.v1.50" hidden="1">Sheet3!$A$18:$C$18</definedName>
    <definedName name="_xlchart.v1.51" hidden="1">Sheet3!$A$19:$C$19</definedName>
    <definedName name="_xlchart.v1.52" hidden="1">Sheet3!$A$1:$C$1</definedName>
    <definedName name="_xlchart.v1.53" hidden="1">Sheet3!$A$20:$C$20</definedName>
    <definedName name="_xlchart.v1.54" hidden="1">Sheet3!$A$21:$C$21</definedName>
    <definedName name="_xlchart.v1.55" hidden="1">Sheet3!$A$2:$C$2</definedName>
    <definedName name="_xlchart.v1.56" hidden="1">Sheet3!$A$3:$C$3</definedName>
    <definedName name="_xlchart.v1.57" hidden="1">Sheet3!$A$4:$C$4</definedName>
    <definedName name="_xlchart.v1.58" hidden="1">Sheet3!$A$5:$C$5</definedName>
    <definedName name="_xlchart.v1.59" hidden="1">Sheet3!$A$6:$C$6</definedName>
    <definedName name="_xlchart.v1.6" hidden="1">Sheet3!$A$16:$C$16</definedName>
    <definedName name="_xlchart.v1.60" hidden="1">Sheet3!$A$7:$C$7</definedName>
    <definedName name="_xlchart.v1.61" hidden="1">Sheet3!$A$8:$C$8</definedName>
    <definedName name="_xlchart.v1.62" hidden="1">Sheet3!$A$9:$C$9</definedName>
    <definedName name="_xlchart.v1.63" hidden="1">Sheet3!$A$1</definedName>
    <definedName name="_xlchart.v1.64" hidden="1">Sheet3!$A$2:$A$21</definedName>
    <definedName name="_xlchart.v1.65" hidden="1">Sheet3!$B$1</definedName>
    <definedName name="_xlchart.v1.66" hidden="1">Sheet3!$B$2:$B$21</definedName>
    <definedName name="_xlchart.v1.67" hidden="1">Sheet3!$C$1</definedName>
    <definedName name="_xlchart.v1.68" hidden="1">Sheet3!$C$2:$C$21</definedName>
    <definedName name="_xlchart.v1.69" hidden="1">Sheet3!$A$1</definedName>
    <definedName name="_xlchart.v1.7" hidden="1">Sheet3!$A$17:$C$17</definedName>
    <definedName name="_xlchart.v1.70" hidden="1">Sheet3!$A$2:$A$21</definedName>
    <definedName name="_xlchart.v1.71" hidden="1">Sheet3!$B$1</definedName>
    <definedName name="_xlchart.v1.72" hidden="1">Sheet3!$B$2:$B$21</definedName>
    <definedName name="_xlchart.v1.73" hidden="1">Sheet3!$C$1</definedName>
    <definedName name="_xlchart.v1.74" hidden="1">Sheet3!$C$2:$C$21</definedName>
    <definedName name="_xlchart.v1.75" hidden="1">Sheet3!$A$10:$C$10</definedName>
    <definedName name="_xlchart.v1.76" hidden="1">Sheet3!$A$11:$C$11</definedName>
    <definedName name="_xlchart.v1.77" hidden="1">Sheet3!$A$12:$C$12</definedName>
    <definedName name="_xlchart.v1.78" hidden="1">Sheet3!$A$13:$C$13</definedName>
    <definedName name="_xlchart.v1.79" hidden="1">Sheet3!$A$14:$C$14</definedName>
    <definedName name="_xlchart.v1.8" hidden="1">Sheet3!$A$18:$C$18</definedName>
    <definedName name="_xlchart.v1.80" hidden="1">Sheet3!$A$15:$C$15</definedName>
    <definedName name="_xlchart.v1.81" hidden="1">Sheet3!$A$16:$C$16</definedName>
    <definedName name="_xlchart.v1.82" hidden="1">Sheet3!$A$17:$C$17</definedName>
    <definedName name="_xlchart.v1.83" hidden="1">Sheet3!$A$18:$C$18</definedName>
    <definedName name="_xlchart.v1.84" hidden="1">Sheet3!$A$19:$C$19</definedName>
    <definedName name="_xlchart.v1.85" hidden="1">Sheet3!$A$1:$C$1</definedName>
    <definedName name="_xlchart.v1.86" hidden="1">Sheet3!$A$20:$C$20</definedName>
    <definedName name="_xlchart.v1.87" hidden="1">Sheet3!$A$21:$C$21</definedName>
    <definedName name="_xlchart.v1.88" hidden="1">Sheet3!$A$2:$C$2</definedName>
    <definedName name="_xlchart.v1.89" hidden="1">Sheet3!$A$3:$C$3</definedName>
    <definedName name="_xlchart.v1.9" hidden="1">Sheet3!$A$19:$C$19</definedName>
    <definedName name="_xlchart.v1.90" hidden="1">Sheet3!$A$4:$C$4</definedName>
    <definedName name="_xlchart.v1.91" hidden="1">Sheet3!$A$5:$C$5</definedName>
    <definedName name="_xlchart.v1.92" hidden="1">Sheet3!$A$6:$C$6</definedName>
    <definedName name="_xlchart.v1.93" hidden="1">Sheet3!$A$7:$C$7</definedName>
    <definedName name="_xlchart.v1.94" hidden="1">Sheet3!$A$8:$C$8</definedName>
    <definedName name="_xlchart.v1.95" hidden="1">Sheet3!$A$9:$C$9</definedName>
    <definedName name="_xlchart.v1.96" hidden="1">Sheet3!$A$1</definedName>
    <definedName name="_xlchart.v1.97" hidden="1">Sheet3!$A$2:$A$21</definedName>
    <definedName name="_xlchart.v1.98" hidden="1">Sheet3!$B$1</definedName>
    <definedName name="_xlchart.v1.99" hidden="1">Sheet3!$B$2:$B$21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2" i="1"/>
</calcChain>
</file>

<file path=xl/sharedStrings.xml><?xml version="1.0" encoding="utf-8"?>
<sst xmlns="http://schemas.openxmlformats.org/spreadsheetml/2006/main" count="98" uniqueCount="91">
  <si>
    <t>Post #</t>
  </si>
  <si>
    <t>Upvotes</t>
  </si>
  <si>
    <t>Topic</t>
  </si>
  <si>
    <t>Type</t>
  </si>
  <si>
    <t>Tone</t>
  </si>
  <si>
    <t>Post Themes</t>
  </si>
  <si>
    <t>Lv1 Comment</t>
  </si>
  <si>
    <t>Theme</t>
  </si>
  <si>
    <t>Lv2 Comment</t>
  </si>
  <si>
    <t>Comments</t>
  </si>
  <si>
    <t>GME stock on Time Square billboards</t>
  </si>
  <si>
    <t>Video</t>
  </si>
  <si>
    <t>"Someone needs to open a GameStop across the ny stock exchange 💎🙌"</t>
  </si>
  <si>
    <t>We can do it. We own GameStop 💎🙌</t>
  </si>
  <si>
    <t>Optimistic; Supportive; Humerous</t>
  </si>
  <si>
    <t>Positive, Optimistic</t>
  </si>
  <si>
    <t>Lv3 Comment</t>
  </si>
  <si>
    <t>Redditors should call a shareholders meeting</t>
  </si>
  <si>
    <t>Humerous, optimistic</t>
  </si>
  <si>
    <t>12.9k</t>
  </si>
  <si>
    <t>Image</t>
  </si>
  <si>
    <t>This just makes me more eager to fuck them over. Fucking robinhood joining in now we still gonna 🚀🚀🚀</t>
  </si>
  <si>
    <t>Predictably, the rich close ranks as soon as us filthy poors begin to accomplish something. The rich have class solidarity - it's about time the rest of us started catching up.</t>
  </si>
  <si>
    <t>Thats what it is, they get us angry about race, sex, ordination and gender ( all important issues) but the bigger fight is a class one. Some hick from West Virginia has more in common with a person living in the hood than they do with the white hedge fund manager but they don't want anyone to realize where the fight should be.</t>
  </si>
  <si>
    <t>Negative, Appealing</t>
  </si>
  <si>
    <t>Unhappy,Upset</t>
  </si>
  <si>
    <t>Negative</t>
  </si>
  <si>
    <t>Positive</t>
  </si>
  <si>
    <t>Explanatory, Upset, Frustration</t>
  </si>
  <si>
    <t>295k</t>
  </si>
  <si>
    <t>23.2k</t>
  </si>
  <si>
    <t>Robinhood banned retail investors from trading</t>
  </si>
  <si>
    <t>Redditers invoke people to buy GME stock</t>
  </si>
  <si>
    <t>Optimistic, Suppotive, Hope</t>
  </si>
  <si>
    <t>Happy, Supportive</t>
  </si>
  <si>
    <t>Title:GME YOLO month-end update — Jan 2021 Topic:Redditers actively call on everyone to buy GME and saying that YOLO, which means "You only live once", and hold GME is the main purpose</t>
  </si>
  <si>
    <t>Title:UPVOTE so everyone sees we got SUPPOR. Topic:Tredditers are angry about Robbinhood hid some of the tock option, and call for others to buy more of the stock</t>
  </si>
  <si>
    <t>Title: Times Square right now                  Topic:supporters celebrate the GME stock is enter a bullish situation; the video showing GME stock is prosperous on the billboards at the Time Square</t>
  </si>
  <si>
    <t>Meme</t>
  </si>
  <si>
    <t>4.6k</t>
  </si>
  <si>
    <t>242k</t>
  </si>
  <si>
    <t>I sold out of some long term stocks just to buy a few more.</t>
  </si>
  <si>
    <t>This is the way.</t>
  </si>
  <si>
    <t>AAPL &amp; TSLA sold to put it all in GME wish me luck 💎👐🏾</t>
  </si>
  <si>
    <t>Redditers stresse that they are involving in the movement</t>
  </si>
  <si>
    <t>Title:It’s treason then.    Topic: Participating in buying GME are seen as a important step in the movement</t>
  </si>
  <si>
    <t>Supportive, Optimistic,Positive</t>
  </si>
  <si>
    <t>Supportive</t>
  </si>
  <si>
    <t>Hope, Positive, Supportive</t>
  </si>
  <si>
    <t>227k</t>
  </si>
  <si>
    <t>18k</t>
  </si>
  <si>
    <t>Redditers are advocate people to leave Robinhood</t>
  </si>
  <si>
    <t>Words</t>
  </si>
  <si>
    <t>Title: CLASS ACTION AGAINST ROBINHOOD. Allowing people to only sell is the definition of market manipulation. A class action must be started, Robinhood has made plenty of money off selling info about our trades to the hedge funds to be able to pay out a little for causing people to loose money now                     Topic: They are mad at Robinhood make money off the retal investors and do not let them trade freely</t>
  </si>
  <si>
    <t>The fucking audacity to call yourself Robin Hood and instead steal from the poor.
Edit: Everybody plz go tank robinhood's reviews on the app store.</t>
  </si>
  <si>
    <t>This. RobinHood literally could have made themselves THE FIRM for anyone tired of Wall Street shenanigans..... But instead they side with them.
I hope it costs them their entire platform, I know they've been eyeing an IPO.</t>
  </si>
  <si>
    <t>Already 1 star on the Play Store, fuck them.</t>
  </si>
  <si>
    <t>Negative, Resentful, Frustrated</t>
  </si>
  <si>
    <t xml:space="preserve">Informative, Negative, Frustrated </t>
  </si>
  <si>
    <t>Agressive, Negative, Frustrated</t>
  </si>
  <si>
    <t>Lvl 1 Up</t>
  </si>
  <si>
    <t>Lvl 2 Up</t>
  </si>
  <si>
    <t>Lvl 3 Up</t>
  </si>
  <si>
    <t>Code</t>
  </si>
  <si>
    <t>Meaning</t>
  </si>
  <si>
    <t>Level 1 comment( first level of response) upvotes</t>
  </si>
  <si>
    <t>3.4k</t>
  </si>
  <si>
    <t>1.6k</t>
  </si>
  <si>
    <t>12.6k</t>
  </si>
  <si>
    <t>2.5k</t>
  </si>
  <si>
    <t>1.3k</t>
  </si>
  <si>
    <t>24k</t>
  </si>
  <si>
    <t>7k</t>
  </si>
  <si>
    <t>I’m just here to be a part of deep fucking history.
HOLD! 💎 🙌 🚀 🚀 🚀</t>
  </si>
  <si>
    <t>WE LIKE THE STOCK</t>
  </si>
  <si>
    <t xml:space="preserve">WE LIKE THE STOCK
</t>
  </si>
  <si>
    <t>32.8k</t>
  </si>
  <si>
    <t>4.3k</t>
  </si>
  <si>
    <t>13.2k</t>
  </si>
  <si>
    <t>optimistic, Advocating</t>
  </si>
  <si>
    <t>Post Type</t>
  </si>
  <si>
    <t>Text Post</t>
  </si>
  <si>
    <t>Image Post Meme</t>
  </si>
  <si>
    <t>Image Post General</t>
  </si>
  <si>
    <t>Video Post</t>
  </si>
  <si>
    <t>Upvote</t>
  </si>
  <si>
    <t>Downvote</t>
  </si>
  <si>
    <t>community support in reddit</t>
  </si>
  <si>
    <t>community negative opinion in reddit</t>
  </si>
  <si>
    <t>Theme2</t>
  </si>
  <si>
    <t>Theme3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</si>
</sst>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Upvotes and Comments in 15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Post Type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058091307803011E-2"/>
                  <c:y val="7.53786287594315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C5A-1742-A23F-A727EC670F0B}"/>
                </c:ext>
              </c:extLst>
            </c:dLbl>
            <c:dLbl>
              <c:idx val="1"/>
              <c:layout>
                <c:manualLayout>
                  <c:x val="8.6797119213223046E-3"/>
                  <c:y val="7.72735095083409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C5A-1742-A23F-A727EC670F0B}"/>
                </c:ext>
              </c:extLst>
            </c:dLbl>
            <c:dLbl>
              <c:idx val="2"/>
              <c:layout>
                <c:manualLayout>
                  <c:x val="1.3158535486083554E-2"/>
                  <c:y val="7.04860365112602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BC5A-1742-A23F-A727EC670F0B}"/>
                </c:ext>
              </c:extLst>
            </c:dLbl>
            <c:dLbl>
              <c:idx val="3"/>
              <c:layout>
                <c:manualLayout>
                  <c:x val="1.0324528857082732E-2"/>
                  <c:y val="8.4060982505421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C5A-1742-A23F-A727EC670F0B}"/>
                </c:ext>
              </c:extLst>
            </c:dLbl>
            <c:dLbl>
              <c:idx val="4"/>
              <c:layout>
                <c:manualLayout>
                  <c:x val="6.5792677430417772E-3"/>
                  <c:y val="7.42293011468155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BC5A-1742-A23F-A727EC670F0B}"/>
                </c:ext>
              </c:extLst>
            </c:dLbl>
            <c:dLbl>
              <c:idx val="5"/>
              <c:layout>
                <c:manualLayout>
                  <c:x val="9.1352096506978082E-3"/>
                  <c:y val="8.0667246006881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C5A-1742-A23F-A727EC670F0B}"/>
                </c:ext>
              </c:extLst>
            </c:dLbl>
            <c:dLbl>
              <c:idx val="6"/>
              <c:layout>
                <c:manualLayout>
                  <c:x val="1.0780026586458312E-2"/>
                  <c:y val="7.0843046901972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BC5A-1742-A23F-A727EC670F0B}"/>
                </c:ext>
              </c:extLst>
            </c:dLbl>
            <c:dLbl>
              <c:idx val="7"/>
              <c:layout>
                <c:manualLayout>
                  <c:x val="9.5975715767344667E-3"/>
                  <c:y val="6.4055573904891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C5A-1742-A23F-A727EC670F0B}"/>
                </c:ext>
              </c:extLst>
            </c:dLbl>
            <c:dLbl>
              <c:idx val="8"/>
              <c:layout>
                <c:manualLayout>
                  <c:x val="1.3156204249481628E-2"/>
                  <c:y val="6.74493104034324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C5A-1742-A23F-A727EC670F0B}"/>
                </c:ext>
              </c:extLst>
            </c:dLbl>
            <c:dLbl>
              <c:idx val="9"/>
              <c:layout>
                <c:manualLayout>
                  <c:x val="8.2240846788022206E-3"/>
                  <c:y val="7.08505291556703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BC5A-1742-A23F-A727EC670F0B}"/>
                </c:ext>
              </c:extLst>
            </c:dLbl>
            <c:dLbl>
              <c:idx val="10"/>
              <c:layout>
                <c:manualLayout>
                  <c:x val="1.1513718550323109E-2"/>
                  <c:y val="6.74567926571300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BC5A-1742-A23F-A727EC670F0B}"/>
                </c:ext>
              </c:extLst>
            </c:dLbl>
            <c:dLbl>
              <c:idx val="11"/>
              <c:layout>
                <c:manualLayout>
                  <c:x val="9.4002840810260072E-3"/>
                  <c:y val="6.96940527297112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C5A-1742-A23F-A727EC670F0B}"/>
                </c:ext>
              </c:extLst>
            </c:dLbl>
            <c:dLbl>
              <c:idx val="12"/>
              <c:layout>
                <c:manualLayout>
                  <c:x val="1.4686031745326698E-2"/>
                  <c:y val="6.66553767749496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BC5A-1742-A23F-A727EC670F0B}"/>
                </c:ext>
              </c:extLst>
            </c:dLbl>
            <c:dLbl>
              <c:idx val="13"/>
              <c:layout>
                <c:manualLayout>
                  <c:x val="9.9858897048136948E-3"/>
                  <c:y val="6.97017285767709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BC5A-1742-A23F-A727EC670F0B}"/>
                </c:ext>
              </c:extLst>
            </c:dLbl>
            <c:dLbl>
              <c:idx val="14"/>
              <c:layout>
                <c:manualLayout>
                  <c:x val="1.4686031745326698E-2"/>
                  <c:y val="6.66553767749496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BC5A-1742-A23F-A727EC670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Sheet3!$A$2:$A$22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A-1742-A23F-A727EC670F0B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Upvotes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-4.9276221545892073E-3"/>
                  <c:y val="-3.4025816753561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BC5A-1742-A23F-A727EC670F0B}"/>
                </c:ext>
              </c:extLst>
            </c:dLbl>
            <c:dLbl>
              <c:idx val="13"/>
              <c:layout>
                <c:manualLayout>
                  <c:x val="-1.3636323465364805E-16"/>
                  <c:y val="-7.23448033075816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BC5A-1742-A23F-A727EC670F0B}"/>
                </c:ext>
              </c:extLst>
            </c:dLbl>
            <c:dLbl>
              <c:idx val="14"/>
              <c:layout>
                <c:manualLayout>
                  <c:x val="0"/>
                  <c:y val="-2.89379213230326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BC5A-1742-A23F-A727EC670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Sheet3!$B$2:$B$22</c:f>
              <c:numCache>
                <c:formatCode>#,##0</c:formatCode>
                <c:ptCount val="21"/>
                <c:pt idx="0" formatCode="General">
                  <c:v>47900</c:v>
                </c:pt>
                <c:pt idx="1">
                  <c:v>33300</c:v>
                </c:pt>
                <c:pt idx="2">
                  <c:v>29500</c:v>
                </c:pt>
                <c:pt idx="3" formatCode="General">
                  <c:v>3300</c:v>
                </c:pt>
                <c:pt idx="4" formatCode="General">
                  <c:v>27000</c:v>
                </c:pt>
                <c:pt idx="5" formatCode="General">
                  <c:v>15000</c:v>
                </c:pt>
                <c:pt idx="6">
                  <c:v>24200</c:v>
                </c:pt>
                <c:pt idx="7" formatCode="General">
                  <c:v>12500</c:v>
                </c:pt>
                <c:pt idx="8" formatCode="General">
                  <c:v>1600</c:v>
                </c:pt>
                <c:pt idx="9" formatCode="General">
                  <c:v>47400</c:v>
                </c:pt>
                <c:pt idx="10" formatCode="General">
                  <c:v>12900</c:v>
                </c:pt>
                <c:pt idx="11" formatCode="General">
                  <c:v>6500</c:v>
                </c:pt>
                <c:pt idx="12">
                  <c:v>2700</c:v>
                </c:pt>
                <c:pt idx="13" formatCode="General">
                  <c:v>2200</c:v>
                </c:pt>
                <c:pt idx="14" formatCode="General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A-1742-A23F-A727EC670F0B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2.81774603138379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C5A-1742-A23F-A727EC670F0B}"/>
                </c:ext>
              </c:extLst>
            </c:dLbl>
            <c:dLbl>
              <c:idx val="8"/>
              <c:layout>
                <c:manualLayout>
                  <c:x val="4.9276221545892073E-3"/>
                  <c:y val="-3.74283984289181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C5A-1742-A23F-A727EC670F0B}"/>
                </c:ext>
              </c:extLst>
            </c:dLbl>
            <c:dLbl>
              <c:idx val="14"/>
              <c:layout>
                <c:manualLayout>
                  <c:x val="2.9752322167280968E-2"/>
                  <c:y val="-2.89379213230327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C5A-1742-A23F-A727EC670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Sheet3!$C$2:$C$22</c:f>
              <c:numCache>
                <c:formatCode>General</c:formatCode>
                <c:ptCount val="21"/>
                <c:pt idx="0">
                  <c:v>89000</c:v>
                </c:pt>
                <c:pt idx="1">
                  <c:v>1290</c:v>
                </c:pt>
                <c:pt idx="2">
                  <c:v>23200</c:v>
                </c:pt>
                <c:pt idx="3">
                  <c:v>27000</c:v>
                </c:pt>
                <c:pt idx="4">
                  <c:v>12000</c:v>
                </c:pt>
                <c:pt idx="5">
                  <c:v>20000</c:v>
                </c:pt>
                <c:pt idx="6">
                  <c:v>46000</c:v>
                </c:pt>
                <c:pt idx="7">
                  <c:v>2300</c:v>
                </c:pt>
                <c:pt idx="8">
                  <c:v>1500</c:v>
                </c:pt>
                <c:pt idx="9">
                  <c:v>13800</c:v>
                </c:pt>
                <c:pt idx="10">
                  <c:v>5600</c:v>
                </c:pt>
                <c:pt idx="11">
                  <c:v>7000</c:v>
                </c:pt>
                <c:pt idx="12">
                  <c:v>18000</c:v>
                </c:pt>
                <c:pt idx="13">
                  <c:v>13000</c:v>
                </c:pt>
                <c:pt idx="14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5A-1742-A23F-A727EC670F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556234368"/>
        <c:axId val="1594982816"/>
      </c:barChart>
      <c:catAx>
        <c:axId val="1556234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4982816"/>
        <c:crosses val="autoZero"/>
        <c:auto val="0"/>
        <c:lblAlgn val="ctr"/>
        <c:lblOffset val="100"/>
        <c:noMultiLvlLbl val="0"/>
      </c:catAx>
      <c:valAx>
        <c:axId val="15949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82096225064125"/>
          <c:y val="0.12770803807670084"/>
          <c:w val="0.29694736473235517"/>
          <c:h val="9.465162251756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204460</xdr:colOff>
      <xdr:row>0</xdr:row>
      <xdr:rowOff>81062</xdr:rowOff>
    </xdr:from>
    <xdr:to>
      <xdr:col>13</xdr:col>
      <xdr:colOff>20320</xdr:colOff>
      <xdr:row>20</xdr:row>
      <xdr:rowOff>193039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40C71D-198C-A2C3-E2C5-AC9BE015B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6620B7-CBBB-144E-A095-CC8A8D57D3BE}" name="Table4" displayName="Table4" ref="A1:P6" totalsRowShown="0" headerRowDxfId="0">
  <autoFilter ref="A1:P6" xr:uid="{A16620B7-CBBB-144E-A095-CC8A8D57D3BE}"/>
  <tableColumns count="16">
    <tableColumn id="1" xr3:uid="{2F22938E-460D-FF4F-8E1C-CA0AFF7C1ECA}" name="Post #" dataDxfId="16"/>
    <tableColumn id="2" xr3:uid="{8B24559A-35DA-5346-87CF-722639C9EEC6}" name="Upvotes" dataDxfId="15"/>
    <tableColumn id="3" xr3:uid="{68C739F4-DCE7-A94D-9404-55866AC384FF}" name="Comments" dataDxfId="14"/>
    <tableColumn id="4" xr3:uid="{4F051D65-E0BF-EB45-9026-57FEC2748B9B}" name="Topic" dataDxfId="13"/>
    <tableColumn id="5" xr3:uid="{50E341DD-1AC7-124E-8109-E139D260643A}" name="Type" dataDxfId="12"/>
    <tableColumn id="6" xr3:uid="{4B680B88-1B11-374E-A02D-9FE4B39EF41F}" name="Tone" dataDxfId="11"/>
    <tableColumn id="7" xr3:uid="{5BE1A4B6-1251-6545-8EE1-2868008A5970}" name="Post Themes" dataDxfId="10"/>
    <tableColumn id="8" xr3:uid="{196CBA6B-8637-D64C-B333-E1834E7990F7}" name="Lvl 1 Up" dataDxfId="9"/>
    <tableColumn id="9" xr3:uid="{88B7D987-E99D-3E40-BB6F-2DC03F4DEE7E}" name="Lv1 Comment" dataDxfId="8"/>
    <tableColumn id="10" xr3:uid="{4E7E61B0-DD57-B849-AB28-DB27A7F4F332}" name="Theme" dataDxfId="7"/>
    <tableColumn id="11" xr3:uid="{4AD262CC-2F2C-2444-BA24-F5EAFA4AD95D}" name="Lvl 2 Up" dataDxfId="6"/>
    <tableColumn id="12" xr3:uid="{22220A32-4429-C640-9E42-E932DDB5DEEF}" name="Lv2 Comment" dataDxfId="5"/>
    <tableColumn id="13" xr3:uid="{13C5483E-2642-AA48-8405-C45A914F49B7}" name="Theme2" dataDxfId="4"/>
    <tableColumn id="14" xr3:uid="{E5BA3067-5F72-E741-B547-059BAF7F98A0}" name="Lvl 3 Up" dataDxfId="3"/>
    <tableColumn id="15" xr3:uid="{E12F3732-3FDC-6A43-BBEC-7E8DEE2B7A85}" name="Lv3 Comment" dataDxfId="2"/>
    <tableColumn id="16" xr3:uid="{F2832372-E3FB-C642-88C6-C167C1CB2B64}" name="Theme3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CCD74-98B0-864B-B6D6-DADEAA9AAC91}" name="Table3" displayName="Table3" ref="A1:B9" totalsRowShown="0">
  <autoFilter ref="A1:B9" xr:uid="{CAFCCD74-98B0-864B-B6D6-DADEAA9AAC91}"/>
  <tableColumns count="2">
    <tableColumn id="1" xr3:uid="{77CB82BC-29C3-6540-A6BA-FCFF3F1D2785}" name="Code"/>
    <tableColumn id="2" xr3:uid="{EB041C01-D7A8-CF48-9ED3-837FB0F92AFF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F6C6-13E3-3147-A143-71733ABE4116}">
  <dimension ref="A1:P6"/>
  <sheetViews>
    <sheetView tabSelected="1" zoomScale="67" workbookViewId="0">
      <selection activeCell="S2" sqref="S2"/>
    </sheetView>
  </sheetViews>
  <sheetFormatPr baseColWidth="10" defaultRowHeight="16" x14ac:dyDescent="0.2"/>
  <cols>
    <col min="1" max="1" width="9" customWidth="1"/>
    <col min="2" max="2" width="11.1640625" customWidth="1"/>
    <col min="3" max="3" width="13.5" customWidth="1"/>
    <col min="4" max="4" width="31" customWidth="1"/>
    <col min="5" max="5" width="7.83203125" customWidth="1"/>
    <col min="6" max="6" width="10.33203125" customWidth="1"/>
    <col min="7" max="8" width="23.83203125" customWidth="1"/>
    <col min="9" max="9" width="25.6640625" customWidth="1"/>
    <col min="10" max="10" width="18.5" customWidth="1"/>
    <col min="11" max="11" width="18.5" style="9" customWidth="1"/>
    <col min="12" max="12" width="16" customWidth="1"/>
    <col min="13" max="13" width="19.6640625" customWidth="1"/>
    <col min="14" max="14" width="19.6640625" style="9" customWidth="1"/>
    <col min="15" max="15" width="28.33203125" style="1" customWidth="1"/>
    <col min="16" max="16" width="19.6640625" customWidth="1"/>
  </cols>
  <sheetData>
    <row r="1" spans="1:16" s="2" customFormat="1" ht="17" x14ac:dyDescent="0.2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60</v>
      </c>
      <c r="I1" s="2" t="s">
        <v>6</v>
      </c>
      <c r="J1" s="2" t="s">
        <v>7</v>
      </c>
      <c r="K1" s="8" t="s">
        <v>61</v>
      </c>
      <c r="L1" s="2" t="s">
        <v>8</v>
      </c>
      <c r="M1" s="2" t="s">
        <v>89</v>
      </c>
      <c r="N1" s="8" t="s">
        <v>62</v>
      </c>
      <c r="O1" s="2" t="s">
        <v>16</v>
      </c>
      <c r="P1" s="2" t="s">
        <v>90</v>
      </c>
    </row>
    <row r="2" spans="1:16" s="3" customFormat="1" ht="153" x14ac:dyDescent="0.2">
      <c r="A2" s="3">
        <v>1</v>
      </c>
      <c r="B2" s="3">
        <f>474000*0.99</f>
        <v>469260</v>
      </c>
      <c r="C2" s="3">
        <v>13800</v>
      </c>
      <c r="D2" s="3" t="s">
        <v>10</v>
      </c>
      <c r="E2" s="3" t="s">
        <v>11</v>
      </c>
      <c r="F2" s="3" t="s">
        <v>27</v>
      </c>
      <c r="G2" s="3" t="s">
        <v>37</v>
      </c>
      <c r="H2" s="3" t="s">
        <v>66</v>
      </c>
      <c r="I2" s="3" t="s">
        <v>12</v>
      </c>
      <c r="J2" s="5" t="s">
        <v>15</v>
      </c>
      <c r="K2" s="7" t="s">
        <v>67</v>
      </c>
      <c r="L2" s="3" t="s">
        <v>13</v>
      </c>
      <c r="M2" s="5" t="s">
        <v>14</v>
      </c>
      <c r="N2" s="7">
        <v>523</v>
      </c>
      <c r="O2" s="7" t="s">
        <v>17</v>
      </c>
      <c r="P2" s="5" t="s">
        <v>18</v>
      </c>
    </row>
    <row r="3" spans="1:16" s="3" customFormat="1" ht="204" x14ac:dyDescent="0.2">
      <c r="A3" s="3">
        <v>2</v>
      </c>
      <c r="B3" s="4">
        <v>333000</v>
      </c>
      <c r="C3" s="3" t="s">
        <v>19</v>
      </c>
      <c r="D3" s="3" t="s">
        <v>31</v>
      </c>
      <c r="E3" s="3" t="s">
        <v>20</v>
      </c>
      <c r="F3" s="3" t="s">
        <v>26</v>
      </c>
      <c r="G3" s="3" t="s">
        <v>36</v>
      </c>
      <c r="H3" s="3" t="s">
        <v>68</v>
      </c>
      <c r="I3" s="3" t="s">
        <v>21</v>
      </c>
      <c r="J3" s="6" t="s">
        <v>24</v>
      </c>
      <c r="K3" s="7" t="s">
        <v>69</v>
      </c>
      <c r="L3" s="3" t="s">
        <v>22</v>
      </c>
      <c r="M3" s="6" t="s">
        <v>25</v>
      </c>
      <c r="N3" s="7" t="s">
        <v>70</v>
      </c>
      <c r="O3" s="7" t="s">
        <v>23</v>
      </c>
      <c r="P3" s="6" t="s">
        <v>28</v>
      </c>
    </row>
    <row r="4" spans="1:16" s="3" customFormat="1" ht="136" x14ac:dyDescent="0.2">
      <c r="A4" s="3">
        <v>3</v>
      </c>
      <c r="B4" s="3" t="s">
        <v>29</v>
      </c>
      <c r="C4" s="3" t="s">
        <v>30</v>
      </c>
      <c r="D4" s="3" t="s">
        <v>32</v>
      </c>
      <c r="E4" s="3" t="s">
        <v>20</v>
      </c>
      <c r="F4" s="3" t="s">
        <v>27</v>
      </c>
      <c r="G4" s="3" t="s">
        <v>35</v>
      </c>
      <c r="H4" s="3" t="s">
        <v>76</v>
      </c>
      <c r="I4" s="3" t="s">
        <v>73</v>
      </c>
      <c r="J4" s="5" t="s">
        <v>79</v>
      </c>
      <c r="K4" s="7" t="s">
        <v>78</v>
      </c>
      <c r="L4" s="3" t="s">
        <v>74</v>
      </c>
      <c r="M4" s="5" t="s">
        <v>33</v>
      </c>
      <c r="N4" s="7" t="s">
        <v>77</v>
      </c>
      <c r="O4" s="7" t="s">
        <v>75</v>
      </c>
      <c r="P4" s="5" t="s">
        <v>34</v>
      </c>
    </row>
    <row r="5" spans="1:16" s="3" customFormat="1" ht="85" x14ac:dyDescent="0.2">
      <c r="A5" s="3">
        <v>4</v>
      </c>
      <c r="B5" s="3" t="s">
        <v>40</v>
      </c>
      <c r="C5" s="3" t="s">
        <v>39</v>
      </c>
      <c r="D5" s="3" t="s">
        <v>44</v>
      </c>
      <c r="E5" s="3" t="s">
        <v>38</v>
      </c>
      <c r="F5" s="3" t="s">
        <v>27</v>
      </c>
      <c r="G5" s="3" t="s">
        <v>45</v>
      </c>
      <c r="H5" s="3">
        <v>595</v>
      </c>
      <c r="I5" s="3" t="s">
        <v>41</v>
      </c>
      <c r="J5" s="5" t="s">
        <v>46</v>
      </c>
      <c r="K5" s="7">
        <v>236</v>
      </c>
      <c r="L5" s="3" t="s">
        <v>43</v>
      </c>
      <c r="M5" s="5" t="s">
        <v>48</v>
      </c>
      <c r="N5" s="7">
        <v>5</v>
      </c>
      <c r="O5" s="3" t="s">
        <v>42</v>
      </c>
      <c r="P5" s="5" t="s">
        <v>47</v>
      </c>
    </row>
    <row r="6" spans="1:16" s="3" customFormat="1" ht="306" x14ac:dyDescent="0.2">
      <c r="A6" s="3">
        <v>5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26</v>
      </c>
      <c r="G6" s="3" t="s">
        <v>53</v>
      </c>
      <c r="H6" s="3" t="s">
        <v>71</v>
      </c>
      <c r="I6" s="3" t="s">
        <v>54</v>
      </c>
      <c r="J6" s="6" t="s">
        <v>59</v>
      </c>
      <c r="K6" s="7" t="s">
        <v>72</v>
      </c>
      <c r="L6" s="3" t="s">
        <v>55</v>
      </c>
      <c r="M6" s="6" t="s">
        <v>58</v>
      </c>
      <c r="N6" s="7">
        <v>259</v>
      </c>
      <c r="O6" s="3" t="s">
        <v>56</v>
      </c>
      <c r="P6" s="6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53FD-8032-4749-969C-57EA73DA81D6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6F33-450A-BA45-9018-3CBEE403EC9F}">
  <dimension ref="A1:B8"/>
  <sheetViews>
    <sheetView workbookViewId="0">
      <selection sqref="A1:B8"/>
    </sheetView>
  </sheetViews>
  <sheetFormatPr baseColWidth="10" defaultRowHeight="16" x14ac:dyDescent="0.2"/>
  <cols>
    <col min="2" max="2" width="42.5" bestFit="1" customWidth="1"/>
  </cols>
  <sheetData>
    <row r="1" spans="1:2" x14ac:dyDescent="0.2">
      <c r="A1" t="s">
        <v>63</v>
      </c>
      <c r="B1" t="s">
        <v>64</v>
      </c>
    </row>
    <row r="2" spans="1:2" x14ac:dyDescent="0.2">
      <c r="A2" t="s">
        <v>60</v>
      </c>
      <c r="B2" t="s">
        <v>65</v>
      </c>
    </row>
    <row r="3" spans="1:2" x14ac:dyDescent="0.2">
      <c r="A3">
        <v>1</v>
      </c>
      <c r="B3" t="s">
        <v>82</v>
      </c>
    </row>
    <row r="4" spans="1:2" x14ac:dyDescent="0.2">
      <c r="A4">
        <v>2</v>
      </c>
      <c r="B4" t="s">
        <v>83</v>
      </c>
    </row>
    <row r="5" spans="1:2" x14ac:dyDescent="0.2">
      <c r="A5">
        <v>3</v>
      </c>
      <c r="B5" t="s">
        <v>84</v>
      </c>
    </row>
    <row r="6" spans="1:2" x14ac:dyDescent="0.2">
      <c r="A6">
        <v>4</v>
      </c>
      <c r="B6" t="s">
        <v>81</v>
      </c>
    </row>
    <row r="7" spans="1:2" x14ac:dyDescent="0.2">
      <c r="A7" t="s">
        <v>85</v>
      </c>
      <c r="B7" t="s">
        <v>87</v>
      </c>
    </row>
    <row r="8" spans="1:2" x14ac:dyDescent="0.2">
      <c r="A8" t="s">
        <v>86</v>
      </c>
      <c r="B8" t="s">
        <v>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C981-8617-DB4C-B379-05906F4EC768}">
  <dimension ref="A1:C16"/>
  <sheetViews>
    <sheetView zoomScale="108" workbookViewId="0">
      <selection sqref="A1:A1048576"/>
    </sheetView>
  </sheetViews>
  <sheetFormatPr baseColWidth="10" defaultRowHeight="16" x14ac:dyDescent="0.2"/>
  <sheetData>
    <row r="1" spans="1:3" x14ac:dyDescent="0.2">
      <c r="A1" t="s">
        <v>80</v>
      </c>
      <c r="B1" t="s">
        <v>1</v>
      </c>
      <c r="C1" t="s">
        <v>9</v>
      </c>
    </row>
    <row r="2" spans="1:3" x14ac:dyDescent="0.2">
      <c r="A2">
        <v>1</v>
      </c>
      <c r="B2">
        <v>47900</v>
      </c>
      <c r="C2" s="3">
        <v>89000</v>
      </c>
    </row>
    <row r="3" spans="1:3" x14ac:dyDescent="0.2">
      <c r="A3">
        <v>1</v>
      </c>
      <c r="B3" s="4">
        <v>33300</v>
      </c>
      <c r="C3" s="3">
        <v>1290</v>
      </c>
    </row>
    <row r="4" spans="1:3" x14ac:dyDescent="0.2">
      <c r="A4">
        <v>1</v>
      </c>
      <c r="B4" s="4">
        <v>29500</v>
      </c>
      <c r="C4" s="3">
        <v>23200</v>
      </c>
    </row>
    <row r="5" spans="1:3" x14ac:dyDescent="0.2">
      <c r="A5">
        <v>1</v>
      </c>
      <c r="B5">
        <v>3300</v>
      </c>
      <c r="C5" s="3">
        <v>27000</v>
      </c>
    </row>
    <row r="6" spans="1:3" x14ac:dyDescent="0.2">
      <c r="A6">
        <v>1</v>
      </c>
      <c r="B6">
        <v>27000</v>
      </c>
      <c r="C6" s="3">
        <v>12000</v>
      </c>
    </row>
    <row r="7" spans="1:3" x14ac:dyDescent="0.2">
      <c r="A7">
        <v>1</v>
      </c>
      <c r="B7">
        <v>15000</v>
      </c>
      <c r="C7" s="3">
        <v>20000</v>
      </c>
    </row>
    <row r="8" spans="1:3" x14ac:dyDescent="0.2">
      <c r="A8">
        <v>2</v>
      </c>
      <c r="B8" s="4">
        <v>24200</v>
      </c>
      <c r="C8" s="3">
        <v>46000</v>
      </c>
    </row>
    <row r="9" spans="1:3" x14ac:dyDescent="0.2">
      <c r="A9">
        <v>2</v>
      </c>
      <c r="B9">
        <v>12500</v>
      </c>
      <c r="C9">
        <v>2300</v>
      </c>
    </row>
    <row r="10" spans="1:3" x14ac:dyDescent="0.2">
      <c r="A10">
        <v>2</v>
      </c>
      <c r="B10">
        <v>1600</v>
      </c>
      <c r="C10">
        <v>1500</v>
      </c>
    </row>
    <row r="11" spans="1:3" x14ac:dyDescent="0.2">
      <c r="A11">
        <v>3</v>
      </c>
      <c r="B11" s="3">
        <f>47400</f>
        <v>47400</v>
      </c>
      <c r="C11" s="3">
        <v>13800</v>
      </c>
    </row>
    <row r="12" spans="1:3" x14ac:dyDescent="0.2">
      <c r="A12">
        <v>3</v>
      </c>
      <c r="B12">
        <v>12900</v>
      </c>
      <c r="C12">
        <v>5600</v>
      </c>
    </row>
    <row r="13" spans="1:3" x14ac:dyDescent="0.2">
      <c r="A13">
        <v>3</v>
      </c>
      <c r="B13">
        <v>6500</v>
      </c>
      <c r="C13">
        <v>7000</v>
      </c>
    </row>
    <row r="14" spans="1:3" x14ac:dyDescent="0.2">
      <c r="A14">
        <v>4</v>
      </c>
      <c r="B14" s="4">
        <v>2700</v>
      </c>
      <c r="C14" s="3">
        <v>18000</v>
      </c>
    </row>
    <row r="15" spans="1:3" x14ac:dyDescent="0.2">
      <c r="A15">
        <v>4</v>
      </c>
      <c r="B15">
        <v>2200</v>
      </c>
      <c r="C15">
        <v>13000</v>
      </c>
    </row>
    <row r="16" spans="1:3" x14ac:dyDescent="0.2">
      <c r="A16">
        <v>4</v>
      </c>
      <c r="B16">
        <v>1300</v>
      </c>
      <c r="C16">
        <v>2300</v>
      </c>
    </row>
  </sheetData>
  <sortState xmlns:xlrd2="http://schemas.microsoft.com/office/spreadsheetml/2017/richdata2" ref="A2:C21">
    <sortCondition ref="A2:A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Codebook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2023-02-22T01:39:13Z</dcterms:created>
  <dcterms:modified xsi:type="dcterms:W3CDTF">2023-03-22T04:03:57Z</dcterms:modified>
</cp:coreProperties>
</file>